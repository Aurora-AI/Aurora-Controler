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Oficial_v4_final" sheetId="1" state="visible" r:id="rId1"/>
    <sheet xmlns:r="http://schemas.openxmlformats.org/officeDocument/2006/relationships" name="Planilha2" sheetId="2" state="visible" r:id="rId2"/>
    <sheet xmlns:r="http://schemas.openxmlformats.org/officeDocument/2006/relationships" name="Cópia de Vendas (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0000"/>
      <sz val="11"/>
    </font>
    <font>
      <b val="1"/>
      <sz val="14"/>
    </font>
    <font>
      <b val="1"/>
      <color rgb="00FFFFFF"/>
    </font>
    <font>
      <b val="1"/>
      <i val="1"/>
    </font>
    <font>
      <b val="1"/>
    </font>
    <font>
      <b val="1"/>
      <color rgb="0000028A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5" customWidth="1" min="3" max="3"/>
    <col width="33" customWidth="1" min="4" max="4"/>
    <col width="12" customWidth="1" min="5" max="5"/>
    <col width="35" customWidth="1" min="6" max="6"/>
    <col width="28" customWidth="1" min="7" max="7"/>
    <col width="20" customWidth="1" min="8" max="8"/>
  </cols>
  <sheetData>
    <row r="1">
      <c r="A1" s="1" t="inlineStr">
        <is>
          <t>RELATÓRIO GERAL - NÃO MEXER NA COLUNA F (CLÁUDIA)</t>
        </is>
      </c>
    </row>
    <row r="2"/>
    <row r="3">
      <c r="A3" s="2" t="inlineStr">
        <is>
          <t>*** VENDAS Q1 - CONSOLIDADO BRUTO ***</t>
        </is>
      </c>
    </row>
    <row r="4"/>
    <row r="5"/>
    <row r="6">
      <c r="A6" s="3" t="inlineStr">
        <is>
          <t>Data</t>
        </is>
      </c>
      <c r="B6" s="3" t="inlineStr">
        <is>
          <t>SKU</t>
        </is>
      </c>
      <c r="C6" s="3" t="inlineStr">
        <is>
          <t>Vendedor</t>
        </is>
      </c>
      <c r="D6" s="3" t="inlineStr">
        <is>
          <t>Preço Praticado</t>
        </is>
      </c>
      <c r="E6" s="3" t="inlineStr"/>
      <c r="F6" s="3" t="inlineStr">
        <is>
          <t>Preço Praticado</t>
        </is>
      </c>
      <c r="G6" s="3" t="inlineStr">
        <is>
          <t>Comissão</t>
        </is>
      </c>
      <c r="H6" s="3" t="inlineStr">
        <is>
          <t>Notas</t>
        </is>
      </c>
    </row>
    <row r="7">
      <c r="A7" t="inlineStr">
        <is>
          <t>15/03/2026</t>
        </is>
      </c>
      <c r="B7" t="inlineStr">
        <is>
          <t>SKU-9921</t>
        </is>
      </c>
      <c r="C7" t="inlineStr">
        <is>
          <t>Carlos Silva</t>
        </is>
      </c>
      <c r="D7" t="inlineStr">
        <is>
          <t xml:space="preserve"> R$   1.450,00 - </t>
        </is>
      </c>
      <c r="E7" t="inlineStr">
        <is>
          <t>aux_1</t>
        </is>
      </c>
      <c r="F7" t="n">
        <v>1100</v>
      </c>
      <c r="G7">
        <f>D7*0.05</f>
        <v/>
      </c>
      <c r="H7" t="inlineStr">
        <is>
          <t>Ok</t>
        </is>
      </c>
    </row>
    <row r="8">
      <c r="A8" t="inlineStr">
        <is>
          <t>03/15/2026</t>
        </is>
      </c>
      <c r="B8" t="inlineStr">
        <is>
          <t>SKU-8832</t>
        </is>
      </c>
      <c r="C8" t="inlineStr">
        <is>
          <t>Ana Costa</t>
        </is>
      </c>
      <c r="D8" t="n">
        <v>850.5</v>
      </c>
      <c r="E8" t="inlineStr"/>
      <c r="F8" t="n">
        <v>600</v>
      </c>
      <c r="G8">
        <f>D8*0.05</f>
        <v/>
      </c>
      <c r="H8" t="inlineStr">
        <is>
          <t>Desconto Especial</t>
        </is>
      </c>
    </row>
    <row r="9">
      <c r="A9" t="n">
        <v>45731</v>
      </c>
      <c r="B9" t="inlineStr">
        <is>
          <t>SKU-9921</t>
        </is>
      </c>
      <c r="C9" t="inlineStr">
        <is>
          <t>Carlos Silva</t>
        </is>
      </c>
      <c r="D9" t="inlineStr">
        <is>
          <t>(250,00)</t>
        </is>
      </c>
      <c r="E9" t="inlineStr">
        <is>
          <t>temp</t>
        </is>
      </c>
      <c r="F9" t="n">
        <v>100</v>
      </c>
      <c r="G9">
        <f>D9*0.05</f>
        <v/>
      </c>
      <c r="H9" t="inlineStr">
        <is>
          <t>Troca</t>
        </is>
      </c>
    </row>
    <row r="10">
      <c r="A10" t="inlineStr">
        <is>
          <t>2026-03-17</t>
        </is>
      </c>
      <c r="B10" t="inlineStr">
        <is>
          <t>SKU-1044</t>
        </is>
      </c>
      <c r="C10" t="inlineStr">
        <is>
          <t>Marcos Lima</t>
        </is>
      </c>
      <c r="D10" t="inlineStr">
        <is>
          <t xml:space="preserve">R$ - </t>
        </is>
      </c>
      <c r="E10" t="inlineStr"/>
      <c r="F10" t="n">
        <v>450</v>
      </c>
      <c r="G10">
        <f>G10/0</f>
        <v/>
      </c>
      <c r="H10" t="inlineStr">
        <is>
          <t>Erro comissão</t>
        </is>
      </c>
    </row>
    <row r="11">
      <c r="A11" t="inlineStr">
        <is>
          <t>18/03/2026</t>
        </is>
      </c>
      <c r="B11" t="inlineStr">
        <is>
          <t>SKU-8832</t>
        </is>
      </c>
      <c r="C11" t="inlineStr">
        <is>
          <t>Ana Costa</t>
        </is>
      </c>
      <c r="D11" t="n">
        <v>1200</v>
      </c>
      <c r="E11" t="inlineStr">
        <is>
          <t>X</t>
        </is>
      </c>
      <c r="F11">
        <f>'[Estoque_2025.xlsx]Geral'!$B$4</f>
        <v/>
      </c>
      <c r="G11">
        <f>D11*0.05</f>
        <v/>
      </c>
      <c r="H11" t="inlineStr">
        <is>
          <t>Ref externa</t>
        </is>
      </c>
    </row>
    <row r="12">
      <c r="A12" t="inlineStr">
        <is>
          <t>19/03/2026</t>
        </is>
      </c>
      <c r="B12" t="inlineStr">
        <is>
          <t>SKU-3321</t>
        </is>
      </c>
      <c r="C12" t="inlineStr">
        <is>
          <t>Roberto M.</t>
        </is>
      </c>
      <c r="D12" t="inlineStr">
        <is>
          <t>1500,00</t>
        </is>
      </c>
      <c r="E12" t="inlineStr"/>
      <c r="F12" t="n">
        <v>950</v>
      </c>
      <c r="G12">
        <f>D12*0.05</f>
        <v/>
      </c>
      <c r="H12" t="inlineStr">
        <is>
          <t>Formato string</t>
        </is>
      </c>
    </row>
    <row r="13">
      <c r="A13" t="inlineStr">
        <is>
          <t>20/03/2026</t>
        </is>
      </c>
      <c r="B13" t="inlineStr">
        <is>
          <t>SKU-9921</t>
        </is>
      </c>
      <c r="C13" t="inlineStr">
        <is>
          <t>Carlos Silva</t>
        </is>
      </c>
      <c r="D13" t="n">
        <v>1450</v>
      </c>
      <c r="E13" t="inlineStr"/>
      <c r="F13" t="n">
        <v>1100</v>
      </c>
      <c r="G13">
        <f>D13*0.05</f>
        <v/>
      </c>
      <c r="H13" t="inlineStr"/>
    </row>
    <row r="14">
      <c r="A14" t="inlineStr">
        <is>
          <t>21/03/2026</t>
        </is>
      </c>
      <c r="B14" t="inlineStr">
        <is>
          <t>SKU-1044</t>
        </is>
      </c>
      <c r="C14" t="inlineStr">
        <is>
          <t>Ana Costa</t>
        </is>
      </c>
      <c r="D14" t="n">
        <v>490</v>
      </c>
      <c r="E14" t="inlineStr">
        <is>
          <t>aux</t>
        </is>
      </c>
      <c r="F14" t="n">
        <v>300</v>
      </c>
      <c r="G14">
        <f>D14*0.05</f>
        <v/>
      </c>
      <c r="H14" t="inlineStr"/>
    </row>
    <row r="15">
      <c r="A15" t="inlineStr">
        <is>
          <t>22/03/2026</t>
        </is>
      </c>
      <c r="B15" t="inlineStr">
        <is>
          <t>SKU-5541</t>
        </is>
      </c>
      <c r="C15" t="inlineStr">
        <is>
          <t>Carlos Silva</t>
        </is>
      </c>
      <c r="D15" t="n">
        <v>3200</v>
      </c>
      <c r="E15" t="inlineStr"/>
      <c r="F15" t="n">
        <v>2100</v>
      </c>
      <c r="G15">
        <f>D15*0.05</f>
        <v/>
      </c>
      <c r="H15" t="inlineStr">
        <is>
          <t>Venda alta</t>
        </is>
      </c>
    </row>
    <row r="16">
      <c r="A16" t="inlineStr">
        <is>
          <t>23/03/2026</t>
        </is>
      </c>
      <c r="B16" t="inlineStr">
        <is>
          <t>SKU-8832</t>
        </is>
      </c>
      <c r="C16" t="inlineStr">
        <is>
          <t>Roberto M.</t>
        </is>
      </c>
      <c r="D16" t="n">
        <v>850.5</v>
      </c>
      <c r="E16" t="inlineStr"/>
      <c r="F16" t="n">
        <v>600</v>
      </c>
      <c r="G16">
        <f>D16*0.05</f>
        <v/>
      </c>
      <c r="H16" t="inlineStr"/>
    </row>
    <row r="17">
      <c r="A17" t="inlineStr">
        <is>
          <t>24/03/2026</t>
        </is>
      </c>
      <c r="B17" t="inlineStr">
        <is>
          <t>SKU-9921</t>
        </is>
      </c>
      <c r="C17" t="inlineStr">
        <is>
          <t>Ana Costa</t>
        </is>
      </c>
      <c r="D17" t="n">
        <v>1450</v>
      </c>
      <c r="E17" t="inlineStr"/>
      <c r="F17" t="n">
        <v>1100</v>
      </c>
      <c r="G17">
        <f>D17*0.05</f>
        <v/>
      </c>
      <c r="H17" t="inlineStr"/>
    </row>
    <row r="18">
      <c r="A18" t="inlineStr">
        <is>
          <t>25/03/2026</t>
        </is>
      </c>
      <c r="B18" t="inlineStr">
        <is>
          <t>SKU-1044</t>
        </is>
      </c>
      <c r="C18" t="inlineStr">
        <is>
          <t>Carlos Silva</t>
        </is>
      </c>
      <c r="D18" t="n">
        <v>490</v>
      </c>
      <c r="E18" t="inlineStr"/>
      <c r="F18" t="n">
        <v>300</v>
      </c>
      <c r="G18">
        <f>D18*0.05</f>
        <v/>
      </c>
      <c r="H18" t="inlineStr"/>
    </row>
    <row r="19">
      <c r="A19" t="inlineStr">
        <is>
          <t>26/03/2026</t>
        </is>
      </c>
      <c r="B19" t="inlineStr">
        <is>
          <t>SKU-3321</t>
        </is>
      </c>
      <c r="C19" t="inlineStr">
        <is>
          <t>Marcos Lima</t>
        </is>
      </c>
      <c r="D19" t="n">
        <v>1500</v>
      </c>
      <c r="E19" t="inlineStr"/>
      <c r="F19" t="n">
        <v>950</v>
      </c>
      <c r="G19">
        <f>D19*0.05</f>
        <v/>
      </c>
      <c r="H19" t="inlineStr"/>
    </row>
    <row r="20">
      <c r="A20" t="inlineStr">
        <is>
          <t>27/03/2026</t>
        </is>
      </c>
      <c r="B20" t="inlineStr">
        <is>
          <t>SKU-8832</t>
        </is>
      </c>
      <c r="C20" t="inlineStr">
        <is>
          <t>Ana Costa</t>
        </is>
      </c>
      <c r="D20" t="n">
        <v>850.5</v>
      </c>
      <c r="E20" t="inlineStr"/>
      <c r="F20" t="n">
        <v>600</v>
      </c>
      <c r="G20">
        <f>D20*0.05</f>
        <v/>
      </c>
      <c r="H20" t="inlineStr"/>
    </row>
    <row r="21">
      <c r="A21" t="inlineStr">
        <is>
          <t>28/03/2026</t>
        </is>
      </c>
      <c r="B21" t="inlineStr">
        <is>
          <t>SKU-9921</t>
        </is>
      </c>
      <c r="C21" t="inlineStr">
        <is>
          <t>Carlos Silva</t>
        </is>
      </c>
      <c r="D21" t="n">
        <v>1450</v>
      </c>
      <c r="E21" t="inlineStr"/>
      <c r="F21" t="n">
        <v>1100</v>
      </c>
      <c r="G21">
        <f>D21*0.05</f>
        <v/>
      </c>
      <c r="H21" t="inlineStr"/>
    </row>
    <row r="22">
      <c r="A22" s="4" t="inlineStr">
        <is>
          <t>SUBTOTAL PARCIAL MARÇO (NÃO EXCLUIR)</t>
        </is>
      </c>
      <c r="D22" s="5">
        <f>SUM(D7:D21)</f>
        <v/>
      </c>
      <c r="F22">
        <f>SUM(F7:F21)</f>
        <v/>
      </c>
      <c r="G22">
        <f>SUM(G7:G21)</f>
        <v/>
      </c>
    </row>
    <row r="23">
      <c r="A23" t="inlineStr">
        <is>
          <t>29/03/2026</t>
        </is>
      </c>
      <c r="B23" t="inlineStr">
        <is>
          <t>SKU-9921</t>
        </is>
      </c>
      <c r="C23" t="inlineStr">
        <is>
          <t>Carlos Silva</t>
        </is>
      </c>
      <c r="D23" t="n">
        <v>1450</v>
      </c>
      <c r="E23" t="inlineStr"/>
      <c r="F23" t="n">
        <v>1100</v>
      </c>
      <c r="G23">
        <f>D23*0.05</f>
        <v/>
      </c>
      <c r="H23" t="inlineStr"/>
    </row>
    <row r="24">
      <c r="A24" t="inlineStr">
        <is>
          <t>30/03/2026</t>
        </is>
      </c>
      <c r="B24" t="inlineStr">
        <is>
          <t>SKU-8832</t>
        </is>
      </c>
      <c r="C24" t="inlineStr">
        <is>
          <t>Ana Costa</t>
        </is>
      </c>
      <c r="D24" t="n">
        <v>850.5</v>
      </c>
      <c r="E24" t="inlineStr"/>
      <c r="F24" t="n">
        <v>600</v>
      </c>
      <c r="G24">
        <f>D24*0.05</f>
        <v/>
      </c>
      <c r="H24" t="inlineStr"/>
    </row>
    <row r="25">
      <c r="A25" t="inlineStr">
        <is>
          <t>31/03/2026</t>
        </is>
      </c>
      <c r="B25" t="inlineStr">
        <is>
          <t>SKU-1044</t>
        </is>
      </c>
      <c r="C25" t="inlineStr">
        <is>
          <t>Marcos Lima</t>
        </is>
      </c>
      <c r="D25" t="n">
        <v>490</v>
      </c>
      <c r="E25" t="inlineStr"/>
      <c r="F25" t="n">
        <v>300</v>
      </c>
      <c r="G25">
        <f>D25*0.05</f>
        <v/>
      </c>
      <c r="H25" t="inlineStr"/>
    </row>
    <row r="26">
      <c r="A26" t="inlineStr">
        <is>
          <t>01/04/2026</t>
        </is>
      </c>
      <c r="B26" t="inlineStr">
        <is>
          <t>SKU-5541</t>
        </is>
      </c>
      <c r="C26" t="inlineStr">
        <is>
          <t>Roberto M.</t>
        </is>
      </c>
      <c r="D26" t="n">
        <v>3200</v>
      </c>
      <c r="E26" t="inlineStr"/>
      <c r="F26" t="n">
        <v>2100</v>
      </c>
      <c r="G26">
        <f>D26*0.05</f>
        <v/>
      </c>
      <c r="H26" t="inlineStr"/>
    </row>
    <row r="27">
      <c r="A27" t="inlineStr">
        <is>
          <t>02/04/2026</t>
        </is>
      </c>
      <c r="B27" t="inlineStr">
        <is>
          <t>SKU-9921</t>
        </is>
      </c>
      <c r="C27" t="inlineStr">
        <is>
          <t>Carlos Silva</t>
        </is>
      </c>
      <c r="D27" t="n">
        <v>1450</v>
      </c>
      <c r="E27" t="inlineStr"/>
      <c r="F27" t="n">
        <v>1100</v>
      </c>
      <c r="G27">
        <f>D27*0.05</f>
        <v/>
      </c>
      <c r="H27" t="inlineStr"/>
    </row>
    <row r="28">
      <c r="A28" t="inlineStr">
        <is>
          <t>03/04/2026</t>
        </is>
      </c>
      <c r="B28" t="inlineStr">
        <is>
          <t>SKU-8832</t>
        </is>
      </c>
      <c r="C28" t="inlineStr">
        <is>
          <t>Ana Costa</t>
        </is>
      </c>
      <c r="D28" t="n">
        <v>850.5</v>
      </c>
      <c r="E28" t="inlineStr"/>
      <c r="F28" t="n">
        <v>600</v>
      </c>
      <c r="G28">
        <f>D28*0.05</f>
        <v/>
      </c>
      <c r="H28" t="inlineStr"/>
    </row>
    <row r="29">
      <c r="A29" t="inlineStr">
        <is>
          <t>04/04/2026</t>
        </is>
      </c>
      <c r="B29" t="inlineStr">
        <is>
          <t>SKU-3321</t>
        </is>
      </c>
      <c r="C29" t="inlineStr">
        <is>
          <t>Marcos Lima</t>
        </is>
      </c>
      <c r="D29" t="n">
        <v>1500</v>
      </c>
      <c r="E29" t="inlineStr"/>
      <c r="F29" t="n">
        <v>950</v>
      </c>
      <c r="G29">
        <f>D29*0.05</f>
        <v/>
      </c>
      <c r="H29" t="inlineStr"/>
    </row>
    <row r="30">
      <c r="A30" t="inlineStr">
        <is>
          <t>05/04/2026</t>
        </is>
      </c>
      <c r="B30" t="inlineStr">
        <is>
          <t>SKU-1044</t>
        </is>
      </c>
      <c r="C30" t="inlineStr">
        <is>
          <t>Carlos Silva</t>
        </is>
      </c>
      <c r="D30" t="n">
        <v>490</v>
      </c>
      <c r="E30" t="inlineStr"/>
      <c r="F30" t="n">
        <v>300</v>
      </c>
      <c r="G30">
        <f>D30*0.05</f>
        <v/>
      </c>
      <c r="H30" t="inlineStr"/>
    </row>
    <row r="31">
      <c r="A31" t="inlineStr">
        <is>
          <t>06/04/2026</t>
        </is>
      </c>
      <c r="B31" t="inlineStr">
        <is>
          <t>SKU-9921</t>
        </is>
      </c>
      <c r="C31" t="inlineStr">
        <is>
          <t>Ana Costa</t>
        </is>
      </c>
      <c r="D31" t="n">
        <v>1450</v>
      </c>
      <c r="E31" t="inlineStr"/>
      <c r="F31" t="n">
        <v>1100</v>
      </c>
      <c r="G31">
        <f>D31*0.05</f>
        <v/>
      </c>
      <c r="H31" t="inlineStr"/>
    </row>
    <row r="32">
      <c r="A32" t="inlineStr">
        <is>
          <t>07/04/2026</t>
        </is>
      </c>
      <c r="B32" t="inlineStr">
        <is>
          <t>SKU-8832</t>
        </is>
      </c>
      <c r="C32" t="inlineStr">
        <is>
          <t>Roberto M.</t>
        </is>
      </c>
      <c r="D32" t="n">
        <v>850.5</v>
      </c>
      <c r="E32" t="inlineStr"/>
      <c r="F32" t="n">
        <v>600</v>
      </c>
      <c r="G32">
        <f>D32*0.05</f>
        <v/>
      </c>
      <c r="H32" t="inlineStr"/>
    </row>
    <row r="33">
      <c r="A33" t="inlineStr">
        <is>
          <t>08/04/2026</t>
        </is>
      </c>
      <c r="B33" t="inlineStr">
        <is>
          <t>SKU-5541</t>
        </is>
      </c>
      <c r="C33" t="inlineStr">
        <is>
          <t>Carlos Silva</t>
        </is>
      </c>
      <c r="D33" t="n">
        <v>3200</v>
      </c>
      <c r="E33" t="inlineStr"/>
      <c r="F33" t="n">
        <v>2100</v>
      </c>
      <c r="G33">
        <f>D33*0.05</f>
        <v/>
      </c>
      <c r="H33" t="inlineStr"/>
    </row>
    <row r="34">
      <c r="A34" t="inlineStr">
        <is>
          <t>09/04/2026</t>
        </is>
      </c>
      <c r="B34" t="inlineStr">
        <is>
          <t>SKU-1044</t>
        </is>
      </c>
      <c r="C34" t="inlineStr">
        <is>
          <t>Ana Costa</t>
        </is>
      </c>
      <c r="D34" t="n">
        <v>490</v>
      </c>
      <c r="E34" t="inlineStr"/>
      <c r="F34" t="n">
        <v>300</v>
      </c>
      <c r="G34">
        <f>D34*0.05</f>
        <v/>
      </c>
      <c r="H34" t="inlineStr"/>
    </row>
    <row r="35">
      <c r="A35" t="inlineStr">
        <is>
          <t>10/04/2026</t>
        </is>
      </c>
      <c r="B35" t="inlineStr">
        <is>
          <t>SKU-9921</t>
        </is>
      </c>
      <c r="C35" t="inlineStr">
        <is>
          <t>Marcos Lima</t>
        </is>
      </c>
      <c r="D35" t="n">
        <v>1450</v>
      </c>
      <c r="E35" t="inlineStr"/>
      <c r="F35" t="n">
        <v>1100</v>
      </c>
      <c r="G35">
        <f>D35*0.05</f>
        <v/>
      </c>
      <c r="H35" t="inlineStr"/>
    </row>
    <row r="36">
      <c r="A36" t="inlineStr">
        <is>
          <t>11/04/2026</t>
        </is>
      </c>
      <c r="B36" t="inlineStr">
        <is>
          <t>SKU-8832</t>
        </is>
      </c>
      <c r="C36" t="inlineStr">
        <is>
          <t>Carlos Silva</t>
        </is>
      </c>
      <c r="D36" t="n">
        <v>850.5</v>
      </c>
      <c r="E36" t="inlineStr"/>
      <c r="F36" t="n">
        <v>600</v>
      </c>
      <c r="G36">
        <f>D36*0.05</f>
        <v/>
      </c>
      <c r="H36" t="inlineStr"/>
    </row>
    <row r="37">
      <c r="A37" t="inlineStr">
        <is>
          <t>12/04/2026</t>
        </is>
      </c>
      <c r="B37" t="inlineStr">
        <is>
          <t>SKU-3321</t>
        </is>
      </c>
      <c r="C37" t="inlineStr">
        <is>
          <t>Ana Costa</t>
        </is>
      </c>
      <c r="D37" t="n">
        <v>1500</v>
      </c>
      <c r="E37" t="inlineStr"/>
      <c r="F37" t="n">
        <v>950</v>
      </c>
      <c r="G37">
        <f>D37*0.05</f>
        <v/>
      </c>
      <c r="H37" t="inlineStr"/>
    </row>
    <row r="38"/>
    <row r="39"/>
    <row r="40">
      <c r="C40" s="5" t="inlineStr">
        <is>
          <t>TOTAL GERAL</t>
        </is>
      </c>
      <c r="D40" s="6">
        <f>SUM(D7:D21)+SUM(D23:D37)+1500</f>
        <v/>
      </c>
      <c r="F40" s="5">
        <f>SUM(F7:F21)+SUM(F23:F37)</f>
        <v/>
      </c>
      <c r="G40" s="5">
        <f>SUM(G7:G21)+SUM(G23:G37)</f>
        <v/>
      </c>
    </row>
  </sheetData>
  <mergeCells count="2">
    <mergeCell ref="A3:H3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sheetData>
    <row r="2">
      <c r="B2" t="inlineStr">
        <is>
          <t>Anotações do Gerente</t>
        </is>
      </c>
    </row>
    <row r="3">
      <c r="B3" t="inlineStr">
        <is>
          <t>Meta Q1: 50000</t>
        </is>
      </c>
    </row>
    <row r="5">
      <c r="C5" t="n">
        <v>12000</v>
      </c>
    </row>
    <row r="6">
      <c r="C6" t="n">
        <v>15000</v>
      </c>
    </row>
    <row r="7">
      <c r="C7">
        <f>C5+C6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CÓPIA DE BACKUP - MARÇO</t>
        </is>
      </c>
    </row>
    <row r="3">
      <c r="A3" t="inlineStr">
        <is>
          <t>Data</t>
        </is>
      </c>
      <c r="B3" t="inlineStr">
        <is>
          <t>Total Vendas</t>
        </is>
      </c>
    </row>
    <row r="4">
      <c r="A4" t="inlineStr">
        <is>
          <t>15/03/2026</t>
        </is>
      </c>
      <c r="B4" t="n">
        <v>1450</v>
      </c>
    </row>
    <row r="5">
      <c r="A5" t="inlineStr">
        <is>
          <t>TOTAL</t>
        </is>
      </c>
      <c r="B5">
        <f>SUM(B4:B4)*1.1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2026-07-30T13:54:34Z</dcterms:created>
  <dcterms:modified xmlns:dcterms="http://purl.org/dc/terms/" xmlns:xsi="http://www.w3.org/2001/XMLSchema-instance" xsi:type="dcterms:W3CDTF">2026-07-30T13:54:34Z</dcterms:modified>
</cp:coreProperties>
</file>